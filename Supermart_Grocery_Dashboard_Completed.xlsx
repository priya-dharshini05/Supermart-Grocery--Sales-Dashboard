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Dashboard" sheetId="1" r:id="rId1"/>
    <sheet name="Overall KPIs" sheetId="2" r:id="rId2"/>
    <sheet name="Category Sales" sheetId="3" r:id="rId3"/>
    <sheet name="Region Performance" sheetId="4" r:id="rId4"/>
    <sheet name="Subcategory" sheetId="5" r:id="rId5"/>
    <sheet name="Category Profit" sheetId="6" r:id="rId6"/>
    <sheet name="Discount Margin" sheetId="7" r:id="rId7"/>
    <sheet name="City Sales" sheetId="8" r:id="rId8"/>
    <sheet name="City Profit" sheetId="9" r:id="rId9"/>
    <sheet name="City Margin" sheetId="10" r:id="rId10"/>
    <sheet name="Insights" sheetId="11" r:id="rId11"/>
  </sheets>
  <definedNames>
    <definedName name="_xlnm._FilterDatabase" localSheetId="5" hidden="1">'Category Profit'!$A$1:$B$8</definedName>
    <definedName name="_xlnm._FilterDatabase" localSheetId="2" hidden="1">'Category Sales'!$A$1:$C$8</definedName>
    <definedName name="_xlnm._FilterDatabase" localSheetId="9" hidden="1">'City Margin'!$A$1:$B$11</definedName>
    <definedName name="_xlnm._FilterDatabase" localSheetId="8" hidden="1">'City Profit'!$A$1:$B$9</definedName>
    <definedName name="_xlnm._FilterDatabase" localSheetId="7" hidden="1">'City Sales'!$A$1:$B$25</definedName>
    <definedName name="_xlnm._FilterDatabase" localSheetId="6" hidden="1">'Discount Margin'!$A$1:$B$6</definedName>
    <definedName name="_xlnm._FilterDatabase" localSheetId="10" hidden="1">Insights!$A$1:$B$8</definedName>
    <definedName name="_xlnm._FilterDatabase" localSheetId="1" hidden="1">'Overall KPIs'!$A$1:$B$6</definedName>
    <definedName name="_xlnm._FilterDatabase" localSheetId="3" hidden="1">'Region Performance'!$A$1:$C$5</definedName>
    <definedName name="_xlnm._FilterDatabase" localSheetId="4" hidden="1">Subcategory!$A$1:$C$11</definedName>
  </definedNames>
  <calcPr calcId="144525"/>
</workbook>
</file>

<file path=xl/calcChain.xml><?xml version="1.0" encoding="utf-8"?>
<calcChain xmlns="http://schemas.openxmlformats.org/spreadsheetml/2006/main">
  <c r="H4" i="1" l="1"/>
  <c r="F4" i="1"/>
  <c r="D4" i="1"/>
  <c r="B4" i="1"/>
</calcChain>
</file>

<file path=xl/sharedStrings.xml><?xml version="1.0" encoding="utf-8"?>
<sst xmlns="http://schemas.openxmlformats.org/spreadsheetml/2006/main" count="127" uniqueCount="85">
  <si>
    <t>SUPERMART GROCERY SALES DASHBOARD</t>
  </si>
  <si>
    <t>Business performance | Sales • Profit • Categories • Regions</t>
  </si>
  <si>
    <t>Total Sales</t>
  </si>
  <si>
    <t>Total Profit</t>
  </si>
  <si>
    <t>Profit Margin</t>
  </si>
  <si>
    <t>Orders</t>
  </si>
  <si>
    <t>Metric</t>
  </si>
  <si>
    <t>Value</t>
  </si>
  <si>
    <t>1.50 Cr</t>
  </si>
  <si>
    <t>37.47 L</t>
  </si>
  <si>
    <t>25.1%</t>
  </si>
  <si>
    <t>Average Discount</t>
  </si>
  <si>
    <t>22.7%</t>
  </si>
  <si>
    <t>Category</t>
  </si>
  <si>
    <t>Sales (Lakh)</t>
  </si>
  <si>
    <t>Profit Margin (%)</t>
  </si>
  <si>
    <t>Eggs, Meat &amp; Fish</t>
  </si>
  <si>
    <t>Snacks</t>
  </si>
  <si>
    <t>Food Grains</t>
  </si>
  <si>
    <t>Bakery</t>
  </si>
  <si>
    <t>Fruits &amp; Veggies</t>
  </si>
  <si>
    <t>Beverages</t>
  </si>
  <si>
    <t>Oil &amp; Masala</t>
  </si>
  <si>
    <t>Region</t>
  </si>
  <si>
    <t>Profit (Lakh)</t>
  </si>
  <si>
    <t>West</t>
  </si>
  <si>
    <t>East</t>
  </si>
  <si>
    <t>Central</t>
  </si>
  <si>
    <t>South</t>
  </si>
  <si>
    <t>Sub-category</t>
  </si>
  <si>
    <t>Health Drinks</t>
  </si>
  <si>
    <t>Soft Drinks</t>
  </si>
  <si>
    <t>Cookies</t>
  </si>
  <si>
    <t>Breads &amp; Buns</t>
  </si>
  <si>
    <t>Noodles</t>
  </si>
  <si>
    <t>Chocolates</t>
  </si>
  <si>
    <t>Masalas</t>
  </si>
  <si>
    <t>Cakes</t>
  </si>
  <si>
    <t>Biscuits</t>
  </si>
  <si>
    <t>Spices</t>
  </si>
  <si>
    <t>Discount Band</t>
  </si>
  <si>
    <t>10-14%</t>
  </si>
  <si>
    <t>15-19%</t>
  </si>
  <si>
    <t>20-24%</t>
  </si>
  <si>
    <t>25-29%</t>
  </si>
  <si>
    <t>30-35%</t>
  </si>
  <si>
    <t>City</t>
  </si>
  <si>
    <t>Kanyakumari</t>
  </si>
  <si>
    <t>Vellore</t>
  </si>
  <si>
    <t>Bodi</t>
  </si>
  <si>
    <t>Tirunelveli</t>
  </si>
  <si>
    <t>Perambalur</t>
  </si>
  <si>
    <t>Salem</t>
  </si>
  <si>
    <t>Pudukottai</t>
  </si>
  <si>
    <t>Tenkasi</t>
  </si>
  <si>
    <t>Karur</t>
  </si>
  <si>
    <t>Krishnagiri</t>
  </si>
  <si>
    <t>Chennai</t>
  </si>
  <si>
    <t>Coimbatore</t>
  </si>
  <si>
    <t>Ramanadhapuram</t>
  </si>
  <si>
    <t>Cumbum</t>
  </si>
  <si>
    <t>Madurai</t>
  </si>
  <si>
    <t>Virudhunagar</t>
  </si>
  <si>
    <t>Ooty</t>
  </si>
  <si>
    <t>Namakkal</t>
  </si>
  <si>
    <t>Viluppuram</t>
  </si>
  <si>
    <t>Theni</t>
  </si>
  <si>
    <t>Dindigul</t>
  </si>
  <si>
    <t>Dharmapuri</t>
  </si>
  <si>
    <t>Nagercoil</t>
  </si>
  <si>
    <t>Trichy</t>
  </si>
  <si>
    <t>Area</t>
  </si>
  <si>
    <t>Insight</t>
  </si>
  <si>
    <t>Overall</t>
  </si>
  <si>
    <t>Sales grew from 29.76 L in 2015 to 49.78 L in 2018 (+67%).</t>
  </si>
  <si>
    <t>Eggs, Meat &amp; Fish is the largest category by sales (22.67 L; 15.2%).</t>
  </si>
  <si>
    <t>West is the top region by sales (47.99 L; 32.1%).</t>
  </si>
  <si>
    <t>Product</t>
  </si>
  <si>
    <t>Snacks is the top profit category (5.68 L).</t>
  </si>
  <si>
    <t>Discount</t>
  </si>
  <si>
    <t>The PDF reports almost no relationship between discount and profit (correlation near 0).</t>
  </si>
  <si>
    <t>Geography</t>
  </si>
  <si>
    <t>All orders are in Tamil Nadu; Kanyakumari is the top city by sales (7.07 L).</t>
  </si>
  <si>
    <t>Action</t>
  </si>
  <si>
    <t>Review pricing and discounts for high-sales, below-average-margin sub-categories.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</si>
</sst>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i/>
      <sz val="11"/>
      <color rgb="FFFFFFFF"/>
      <name val="Calibri"/>
    </font>
    <font>
      <b/>
      <sz val="11"/>
      <color rgb="FF23395B"/>
      <name val="Calibri"/>
    </font>
    <font>
      <b/>
      <sz val="13"/>
      <color rgb="FF1D355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3395B"/>
      </patternFill>
    </fill>
    <fill>
      <patternFill patternType="solid">
        <fgColor rgb="FF406E8E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8AA6B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Sales by Product Category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'Category Sales'!$B$1</c:f>
              <c:strCache>
                <c:ptCount val="1"/>
                <c:pt idx="0">
                  <c:v>Sales (Lakh)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Sales'!$A$2:$A$8</c:f>
              <c:strCache>
                <c:ptCount val="7"/>
                <c:pt idx="0">
                  <c:v>Eggs, Meat &amp; Fish</c:v>
                </c:pt>
                <c:pt idx="1">
                  <c:v>Snacks</c:v>
                </c:pt>
                <c:pt idx="2">
                  <c:v>Food Grains</c:v>
                </c:pt>
                <c:pt idx="3">
                  <c:v>Bakery</c:v>
                </c:pt>
                <c:pt idx="4">
                  <c:v>Fruits &amp; Veggies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'Category Sales'!$B$2:$B$8</c:f>
              <c:numCache>
                <c:formatCode>General</c:formatCode>
                <c:ptCount val="7"/>
                <c:pt idx="0">
                  <c:v>22.67</c:v>
                </c:pt>
                <c:pt idx="1">
                  <c:v>22.38</c:v>
                </c:pt>
                <c:pt idx="2">
                  <c:v>21.15</c:v>
                </c:pt>
                <c:pt idx="3">
                  <c:v>21.12</c:v>
                </c:pt>
                <c:pt idx="4">
                  <c:v>21.01</c:v>
                </c:pt>
                <c:pt idx="5">
                  <c:v>20.85</c:v>
                </c:pt>
                <c:pt idx="6">
                  <c:v>20.38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104960"/>
        <c:axId val="154106880"/>
      </c:barChart>
      <c:catAx>
        <c:axId val="15410496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(Lakh)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54106880"/>
        <c:crosses val="autoZero"/>
        <c:auto val="1"/>
        <c:lblAlgn val="ctr"/>
        <c:lblOffset val="100"/>
        <c:noMultiLvlLbl val="1"/>
      </c:catAx>
      <c:valAx>
        <c:axId val="15410688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541049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en-US"/>
              <a:t>Sales by Region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'Region Performance'!$B$1</c:f>
              <c:strCache>
                <c:ptCount val="1"/>
                <c:pt idx="0">
                  <c:v>Sales (Lakh)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'Region Performance'!$A$2:$A$5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'Region Performance'!$B$2:$B$5</c:f>
              <c:numCache>
                <c:formatCode>General</c:formatCode>
                <c:ptCount val="4"/>
                <c:pt idx="0">
                  <c:v>47.99</c:v>
                </c:pt>
                <c:pt idx="1">
                  <c:v>42.48</c:v>
                </c:pt>
                <c:pt idx="2">
                  <c:v>34.68</c:v>
                </c:pt>
                <c:pt idx="3">
                  <c:v>24.4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828160"/>
        <c:axId val="154125440"/>
      </c:barChart>
      <c:catAx>
        <c:axId val="13282816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54125440"/>
        <c:crosses val="autoZero"/>
        <c:auto val="1"/>
        <c:lblAlgn val="ctr"/>
        <c:lblOffset val="100"/>
        <c:noMultiLvlLbl val="1"/>
      </c:catAx>
      <c:valAx>
        <c:axId val="15412544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(Lakh)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3282816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2"/>
  <c:chart>
    <c:title>
      <c:tx>
        <c:rich>
          <a:bodyPr/>
          <a:lstStyle/>
          <a:p>
            <a:pPr>
              <a:defRPr/>
            </a:pPr>
            <a:r>
              <a:rPr lang="en-US"/>
              <a:t>Profit by Category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'Category Profit'!$B$1</c:f>
              <c:strCache>
                <c:ptCount val="1"/>
                <c:pt idx="0">
                  <c:v>Profit (Lakh)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Profit'!$A$2:$A$8</c:f>
              <c:strCache>
                <c:ptCount val="7"/>
                <c:pt idx="0">
                  <c:v>Snacks</c:v>
                </c:pt>
                <c:pt idx="1">
                  <c:v>Eggs, Meat &amp; Fish</c:v>
                </c:pt>
                <c:pt idx="2">
                  <c:v>Fruits &amp; Veggies</c:v>
                </c:pt>
                <c:pt idx="3">
                  <c:v>Food Grains</c:v>
                </c:pt>
                <c:pt idx="4">
                  <c:v>Bakery</c:v>
                </c:pt>
                <c:pt idx="5">
                  <c:v>Beverages</c:v>
                </c:pt>
                <c:pt idx="6">
                  <c:v>Oil &amp; Masala</c:v>
                </c:pt>
              </c:strCache>
            </c:strRef>
          </c:cat>
          <c:val>
            <c:numRef>
              <c:f>'Category Profit'!$B$2:$B$8</c:f>
              <c:numCache>
                <c:formatCode>General</c:formatCode>
                <c:ptCount val="7"/>
                <c:pt idx="0">
                  <c:v>5.68</c:v>
                </c:pt>
                <c:pt idx="1">
                  <c:v>5.67</c:v>
                </c:pt>
                <c:pt idx="2">
                  <c:v>5.3</c:v>
                </c:pt>
                <c:pt idx="3">
                  <c:v>5.29</c:v>
                </c:pt>
                <c:pt idx="4">
                  <c:v>5.29</c:v>
                </c:pt>
                <c:pt idx="5">
                  <c:v>5.26</c:v>
                </c:pt>
                <c:pt idx="6">
                  <c:v>4.9800000000000004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771200"/>
        <c:axId val="192773120"/>
      </c:barChart>
      <c:catAx>
        <c:axId val="19277120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(Lakh)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92773120"/>
        <c:crosses val="autoZero"/>
        <c:auto val="1"/>
        <c:lblAlgn val="ctr"/>
        <c:lblOffset val="100"/>
        <c:noMultiLvlLbl val="1"/>
      </c:catAx>
      <c:valAx>
        <c:axId val="19277312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9277120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Top Cities by Sales (Top 10)</a:t>
            </a:r>
          </a:p>
        </c:rich>
      </c:tx>
      <c:layout/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'City Sales'!$B$1</c:f>
              <c:strCache>
                <c:ptCount val="1"/>
                <c:pt idx="0">
                  <c:v>Sales (Lakh)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'City Sales'!$A$2:$A$11</c:f>
              <c:strCache>
                <c:ptCount val="10"/>
                <c:pt idx="0">
                  <c:v>Kanyakumari</c:v>
                </c:pt>
                <c:pt idx="1">
                  <c:v>Vellore</c:v>
                </c:pt>
                <c:pt idx="2">
                  <c:v>Bodi</c:v>
                </c:pt>
                <c:pt idx="3">
                  <c:v>Tirunelveli</c:v>
                </c:pt>
                <c:pt idx="4">
                  <c:v>Perambalur</c:v>
                </c:pt>
                <c:pt idx="5">
                  <c:v>Salem</c:v>
                </c:pt>
                <c:pt idx="6">
                  <c:v>Pudukottai</c:v>
                </c:pt>
                <c:pt idx="7">
                  <c:v>Tenkasi</c:v>
                </c:pt>
                <c:pt idx="8">
                  <c:v>Karur</c:v>
                </c:pt>
                <c:pt idx="9">
                  <c:v>Krishnagiri</c:v>
                </c:pt>
              </c:strCache>
            </c:strRef>
          </c:cat>
          <c:val>
            <c:numRef>
              <c:f>'City Sales'!$B$2:$B$11</c:f>
              <c:numCache>
                <c:formatCode>General</c:formatCode>
                <c:ptCount val="10"/>
                <c:pt idx="0">
                  <c:v>7.07</c:v>
                </c:pt>
                <c:pt idx="1">
                  <c:v>6.77</c:v>
                </c:pt>
                <c:pt idx="2">
                  <c:v>6.67</c:v>
                </c:pt>
                <c:pt idx="3">
                  <c:v>6.6</c:v>
                </c:pt>
                <c:pt idx="4">
                  <c:v>6.6</c:v>
                </c:pt>
                <c:pt idx="5">
                  <c:v>6.57</c:v>
                </c:pt>
                <c:pt idx="6">
                  <c:v>6.53</c:v>
                </c:pt>
                <c:pt idx="7">
                  <c:v>6.44</c:v>
                </c:pt>
                <c:pt idx="8">
                  <c:v>6.42</c:v>
                </c:pt>
                <c:pt idx="9">
                  <c:v>6.37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697344"/>
        <c:axId val="160715904"/>
      </c:barChart>
      <c:catAx>
        <c:axId val="160697344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Sales (Lakh)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160715904"/>
        <c:crosses val="autoZero"/>
        <c:auto val="1"/>
        <c:lblAlgn val="ctr"/>
        <c:lblOffset val="100"/>
        <c:noMultiLvlLbl val="1"/>
      </c:catAx>
      <c:valAx>
        <c:axId val="160715904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City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60697344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</xdr:row>
      <xdr:rowOff>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5</xdr:row>
      <xdr:rowOff>0</xdr:rowOff>
    </xdr:from>
    <xdr:ext cx="432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4680000" cy="25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4</xdr:col>
      <xdr:colOff>0</xdr:colOff>
      <xdr:row>20</xdr:row>
      <xdr:rowOff>0</xdr:rowOff>
    </xdr:from>
    <xdr:ext cx="4320000" cy="2520000"/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showGridLines="0"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8" width="17" customWidth="1"/>
  </cols>
  <sheetData>
    <row r="1" spans="1:8" ht="36" customHeight="1" x14ac:dyDescent="0.25">
      <c r="A1" s="7" t="s">
        <v>0</v>
      </c>
      <c r="B1" s="6"/>
      <c r="C1" s="6"/>
      <c r="D1" s="6"/>
      <c r="E1" s="6"/>
      <c r="F1" s="6"/>
      <c r="G1" s="6"/>
      <c r="H1" s="6"/>
    </row>
    <row r="2" spans="1:8" ht="24" customHeight="1" x14ac:dyDescent="0.25">
      <c r="A2" s="5" t="s">
        <v>1</v>
      </c>
      <c r="B2" s="6"/>
      <c r="C2" s="6"/>
      <c r="D2" s="6"/>
      <c r="E2" s="6"/>
      <c r="F2" s="6"/>
      <c r="G2" s="6"/>
      <c r="H2" s="6"/>
    </row>
    <row r="4" spans="1:8" ht="30" customHeight="1" x14ac:dyDescent="0.25">
      <c r="A4" s="1" t="s">
        <v>2</v>
      </c>
      <c r="B4" s="2" t="str">
        <f>'Overall KPIs'!B2</f>
        <v>1.50 Cr</v>
      </c>
      <c r="C4" s="1" t="s">
        <v>3</v>
      </c>
      <c r="D4" s="2" t="str">
        <f>'Overall KPIs'!B3</f>
        <v>37.47 L</v>
      </c>
      <c r="E4" s="1" t="s">
        <v>4</v>
      </c>
      <c r="F4" s="2" t="str">
        <f>'Overall KPIs'!B4</f>
        <v>25.1%</v>
      </c>
      <c r="G4" s="1" t="s">
        <v>5</v>
      </c>
      <c r="H4" s="2">
        <f>'Overall KPIs'!B5</f>
        <v>9994</v>
      </c>
    </row>
  </sheetData>
  <mergeCells count="2">
    <mergeCell ref="A2:H2"/>
    <mergeCell ref="A1:H1"/>
  </mergeCells>
  <pageMargins left="0.75" right="0.75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14" customWidth="1"/>
  </cols>
  <sheetData>
    <row r="1" spans="1:2" x14ac:dyDescent="0.25">
      <c r="A1" s="3" t="s">
        <v>6</v>
      </c>
      <c r="B1" s="3" t="s">
        <v>7</v>
      </c>
    </row>
    <row r="2" spans="1:2" x14ac:dyDescent="0.25">
      <c r="A2" s="4" t="s">
        <v>2</v>
      </c>
      <c r="B2" s="4" t="s">
        <v>8</v>
      </c>
    </row>
    <row r="3" spans="1:2" x14ac:dyDescent="0.25">
      <c r="A3" s="4" t="s">
        <v>3</v>
      </c>
      <c r="B3" s="4" t="s">
        <v>9</v>
      </c>
    </row>
    <row r="4" spans="1:2" x14ac:dyDescent="0.25">
      <c r="A4" s="4" t="s">
        <v>4</v>
      </c>
      <c r="B4" s="4" t="s">
        <v>10</v>
      </c>
    </row>
    <row r="5" spans="1:2" x14ac:dyDescent="0.25">
      <c r="A5" s="4" t="s">
        <v>5</v>
      </c>
      <c r="B5" s="4">
        <v>9994</v>
      </c>
    </row>
    <row r="6" spans="1:2" x14ac:dyDescent="0.25">
      <c r="A6" s="4" t="s">
        <v>11</v>
      </c>
      <c r="B6" s="4" t="s">
        <v>12</v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5" customWidth="1"/>
    <col min="3" max="3" width="20" customWidth="1"/>
  </cols>
  <sheetData>
    <row r="1" spans="1:3" x14ac:dyDescent="0.25">
      <c r="A1" s="3" t="s">
        <v>13</v>
      </c>
      <c r="B1" s="3" t="s">
        <v>14</v>
      </c>
      <c r="C1" s="3" t="s">
        <v>15</v>
      </c>
    </row>
    <row r="2" spans="1:3" x14ac:dyDescent="0.25">
      <c r="A2" s="4" t="s">
        <v>16</v>
      </c>
      <c r="B2" s="4">
        <v>22.67</v>
      </c>
      <c r="C2" s="4">
        <v>25</v>
      </c>
    </row>
    <row r="3" spans="1:3" x14ac:dyDescent="0.25">
      <c r="A3" s="4" t="s">
        <v>17</v>
      </c>
      <c r="B3" s="4">
        <v>22.38</v>
      </c>
      <c r="C3" s="4">
        <v>25.4</v>
      </c>
    </row>
    <row r="4" spans="1:3" x14ac:dyDescent="0.25">
      <c r="A4" s="4" t="s">
        <v>18</v>
      </c>
      <c r="B4" s="4">
        <v>21.15</v>
      </c>
      <c r="C4" s="4">
        <v>25</v>
      </c>
    </row>
    <row r="5" spans="1:3" x14ac:dyDescent="0.25">
      <c r="A5" s="4" t="s">
        <v>19</v>
      </c>
      <c r="B5" s="4">
        <v>21.12</v>
      </c>
      <c r="C5" s="4">
        <v>25</v>
      </c>
    </row>
    <row r="6" spans="1:3" x14ac:dyDescent="0.25">
      <c r="A6" s="4" t="s">
        <v>20</v>
      </c>
      <c r="B6" s="4">
        <v>21.01</v>
      </c>
      <c r="C6" s="4">
        <v>25.2</v>
      </c>
    </row>
    <row r="7" spans="1:3" x14ac:dyDescent="0.25">
      <c r="A7" s="4" t="s">
        <v>21</v>
      </c>
      <c r="B7" s="4">
        <v>20.85</v>
      </c>
      <c r="C7" s="4">
        <v>25.2</v>
      </c>
    </row>
    <row r="8" spans="1:3" x14ac:dyDescent="0.25">
      <c r="A8" s="4" t="s">
        <v>22</v>
      </c>
      <c r="B8" s="4">
        <v>20.38</v>
      </c>
      <c r="C8" s="4">
        <v>24.4</v>
      </c>
    </row>
  </sheetData>
  <autoFilter ref="A1:C8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</cols>
  <sheetData>
    <row r="1" spans="1:3" x14ac:dyDescent="0.25">
      <c r="A1" s="3" t="s">
        <v>23</v>
      </c>
      <c r="B1" s="3" t="s">
        <v>14</v>
      </c>
      <c r="C1" s="3" t="s">
        <v>24</v>
      </c>
    </row>
    <row r="2" spans="1:3" x14ac:dyDescent="0.25">
      <c r="A2" s="4" t="s">
        <v>25</v>
      </c>
      <c r="B2" s="4">
        <v>47.99</v>
      </c>
      <c r="C2" s="4">
        <v>11.92</v>
      </c>
    </row>
    <row r="3" spans="1:3" x14ac:dyDescent="0.25">
      <c r="A3" s="4" t="s">
        <v>26</v>
      </c>
      <c r="B3" s="4">
        <v>42.48</v>
      </c>
      <c r="C3" s="4">
        <v>10.74</v>
      </c>
    </row>
    <row r="4" spans="1:3" x14ac:dyDescent="0.25">
      <c r="A4" s="4" t="s">
        <v>27</v>
      </c>
      <c r="B4" s="4">
        <v>34.68</v>
      </c>
      <c r="C4" s="4">
        <v>8.57</v>
      </c>
    </row>
    <row r="5" spans="1:3" x14ac:dyDescent="0.25">
      <c r="A5" s="4" t="s">
        <v>28</v>
      </c>
      <c r="B5" s="4">
        <v>24.4</v>
      </c>
      <c r="C5" s="4">
        <v>6.24</v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5" customWidth="1"/>
    <col min="3" max="3" width="20" customWidth="1"/>
  </cols>
  <sheetData>
    <row r="1" spans="1:3" x14ac:dyDescent="0.25">
      <c r="A1" s="3" t="s">
        <v>29</v>
      </c>
      <c r="B1" s="3" t="s">
        <v>14</v>
      </c>
      <c r="C1" s="3" t="s">
        <v>15</v>
      </c>
    </row>
    <row r="2" spans="1:3" x14ac:dyDescent="0.25">
      <c r="A2" s="4" t="s">
        <v>30</v>
      </c>
      <c r="B2" s="4">
        <v>10.51</v>
      </c>
      <c r="C2" s="4">
        <v>25.4</v>
      </c>
    </row>
    <row r="3" spans="1:3" x14ac:dyDescent="0.25">
      <c r="A3" s="4" t="s">
        <v>31</v>
      </c>
      <c r="B3" s="4">
        <v>10.34</v>
      </c>
      <c r="C3" s="4">
        <v>25</v>
      </c>
    </row>
    <row r="4" spans="1:3" x14ac:dyDescent="0.25">
      <c r="A4" s="4" t="s">
        <v>32</v>
      </c>
      <c r="B4" s="4">
        <v>7.68</v>
      </c>
      <c r="C4" s="4">
        <v>24.8</v>
      </c>
    </row>
    <row r="5" spans="1:3" x14ac:dyDescent="0.25">
      <c r="A5" s="4" t="s">
        <v>33</v>
      </c>
      <c r="B5" s="4">
        <v>7.43</v>
      </c>
      <c r="C5" s="4">
        <v>25.7</v>
      </c>
    </row>
    <row r="6" spans="1:3" x14ac:dyDescent="0.25">
      <c r="A6" s="4" t="s">
        <v>34</v>
      </c>
      <c r="B6" s="4">
        <v>7.35</v>
      </c>
      <c r="C6" s="4">
        <v>26.3</v>
      </c>
    </row>
    <row r="7" spans="1:3" x14ac:dyDescent="0.25">
      <c r="A7" s="4" t="s">
        <v>35</v>
      </c>
      <c r="B7" s="4">
        <v>7.34</v>
      </c>
      <c r="C7" s="4">
        <v>25.1</v>
      </c>
    </row>
    <row r="8" spans="1:3" x14ac:dyDescent="0.25">
      <c r="A8" s="4" t="s">
        <v>36</v>
      </c>
      <c r="B8" s="4">
        <v>6.97</v>
      </c>
      <c r="C8" s="4">
        <v>24.2</v>
      </c>
    </row>
    <row r="9" spans="1:3" x14ac:dyDescent="0.25">
      <c r="A9" s="4" t="s">
        <v>37</v>
      </c>
      <c r="B9" s="4">
        <v>6.86</v>
      </c>
      <c r="C9" s="4">
        <v>24.6</v>
      </c>
    </row>
    <row r="10" spans="1:3" x14ac:dyDescent="0.25">
      <c r="A10" s="4" t="s">
        <v>38</v>
      </c>
      <c r="B10" s="4">
        <v>6.84</v>
      </c>
      <c r="C10" s="4">
        <v>24.8</v>
      </c>
    </row>
    <row r="11" spans="1:3" x14ac:dyDescent="0.25">
      <c r="A11" s="4" t="s">
        <v>39</v>
      </c>
      <c r="B11" s="4">
        <v>6.73</v>
      </c>
      <c r="C11" s="4">
        <v>23.8</v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6" customWidth="1"/>
  </cols>
  <sheetData>
    <row r="1" spans="1:2" x14ac:dyDescent="0.25">
      <c r="A1" s="3" t="s">
        <v>13</v>
      </c>
      <c r="B1" s="3" t="s">
        <v>24</v>
      </c>
    </row>
    <row r="2" spans="1:2" x14ac:dyDescent="0.25">
      <c r="A2" s="4" t="s">
        <v>17</v>
      </c>
      <c r="B2" s="4">
        <v>5.68</v>
      </c>
    </row>
    <row r="3" spans="1:2" x14ac:dyDescent="0.25">
      <c r="A3" s="4" t="s">
        <v>16</v>
      </c>
      <c r="B3" s="4">
        <v>5.67</v>
      </c>
    </row>
    <row r="4" spans="1:2" x14ac:dyDescent="0.25">
      <c r="A4" s="4" t="s">
        <v>20</v>
      </c>
      <c r="B4" s="4">
        <v>5.3</v>
      </c>
    </row>
    <row r="5" spans="1:2" x14ac:dyDescent="0.25">
      <c r="A5" s="4" t="s">
        <v>18</v>
      </c>
      <c r="B5" s="4">
        <v>5.29</v>
      </c>
    </row>
    <row r="6" spans="1:2" x14ac:dyDescent="0.25">
      <c r="A6" s="4" t="s">
        <v>19</v>
      </c>
      <c r="B6" s="4">
        <v>5.29</v>
      </c>
    </row>
    <row r="7" spans="1:2" x14ac:dyDescent="0.25">
      <c r="A7" s="4" t="s">
        <v>21</v>
      </c>
      <c r="B7" s="4">
        <v>5.26</v>
      </c>
    </row>
    <row r="8" spans="1:2" x14ac:dyDescent="0.25">
      <c r="A8" s="4" t="s">
        <v>22</v>
      </c>
      <c r="B8" s="4">
        <v>4.9800000000000004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0" customWidth="1"/>
  </cols>
  <sheetData>
    <row r="1" spans="1:2" x14ac:dyDescent="0.25">
      <c r="A1" s="3" t="s">
        <v>40</v>
      </c>
      <c r="B1" s="3" t="s">
        <v>15</v>
      </c>
    </row>
    <row r="2" spans="1:2" x14ac:dyDescent="0.25">
      <c r="A2" s="4" t="s">
        <v>41</v>
      </c>
      <c r="B2" s="4">
        <v>25.1</v>
      </c>
    </row>
    <row r="3" spans="1:2" x14ac:dyDescent="0.25">
      <c r="A3" s="4" t="s">
        <v>42</v>
      </c>
      <c r="B3" s="4">
        <v>24.9</v>
      </c>
    </row>
    <row r="4" spans="1:2" x14ac:dyDescent="0.25">
      <c r="A4" s="4" t="s">
        <v>43</v>
      </c>
      <c r="B4" s="4">
        <v>24.8</v>
      </c>
    </row>
    <row r="5" spans="1:2" x14ac:dyDescent="0.25">
      <c r="A5" s="4" t="s">
        <v>44</v>
      </c>
      <c r="B5" s="4">
        <v>25.7</v>
      </c>
    </row>
    <row r="6" spans="1:2" x14ac:dyDescent="0.25">
      <c r="A6" s="4" t="s">
        <v>45</v>
      </c>
      <c r="B6" s="4">
        <v>24.8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2" width="15" customWidth="1"/>
  </cols>
  <sheetData>
    <row r="1" spans="1:2" x14ac:dyDescent="0.25">
      <c r="A1" s="3" t="s">
        <v>46</v>
      </c>
      <c r="B1" s="3" t="s">
        <v>14</v>
      </c>
    </row>
    <row r="2" spans="1:2" x14ac:dyDescent="0.25">
      <c r="A2" s="4" t="s">
        <v>47</v>
      </c>
      <c r="B2" s="4">
        <v>7.07</v>
      </c>
    </row>
    <row r="3" spans="1:2" x14ac:dyDescent="0.25">
      <c r="A3" s="4" t="s">
        <v>48</v>
      </c>
      <c r="B3" s="4">
        <v>6.77</v>
      </c>
    </row>
    <row r="4" spans="1:2" x14ac:dyDescent="0.25">
      <c r="A4" s="4" t="s">
        <v>49</v>
      </c>
      <c r="B4" s="4">
        <v>6.67</v>
      </c>
    </row>
    <row r="5" spans="1:2" x14ac:dyDescent="0.25">
      <c r="A5" s="4" t="s">
        <v>50</v>
      </c>
      <c r="B5" s="4">
        <v>6.6</v>
      </c>
    </row>
    <row r="6" spans="1:2" x14ac:dyDescent="0.25">
      <c r="A6" s="4" t="s">
        <v>51</v>
      </c>
      <c r="B6" s="4">
        <v>6.6</v>
      </c>
    </row>
    <row r="7" spans="1:2" x14ac:dyDescent="0.25">
      <c r="A7" s="4" t="s">
        <v>52</v>
      </c>
      <c r="B7" s="4">
        <v>6.57</v>
      </c>
    </row>
    <row r="8" spans="1:2" x14ac:dyDescent="0.25">
      <c r="A8" s="4" t="s">
        <v>53</v>
      </c>
      <c r="B8" s="4">
        <v>6.53</v>
      </c>
    </row>
    <row r="9" spans="1:2" x14ac:dyDescent="0.25">
      <c r="A9" s="4" t="s">
        <v>54</v>
      </c>
      <c r="B9" s="4">
        <v>6.44</v>
      </c>
    </row>
    <row r="10" spans="1:2" x14ac:dyDescent="0.25">
      <c r="A10" s="4" t="s">
        <v>55</v>
      </c>
      <c r="B10" s="4">
        <v>6.42</v>
      </c>
    </row>
    <row r="11" spans="1:2" x14ac:dyDescent="0.25">
      <c r="A11" s="4" t="s">
        <v>56</v>
      </c>
      <c r="B11" s="4">
        <v>6.37</v>
      </c>
    </row>
    <row r="12" spans="1:2" x14ac:dyDescent="0.25">
      <c r="A12" s="4" t="s">
        <v>57</v>
      </c>
      <c r="B12" s="4">
        <v>6.35</v>
      </c>
    </row>
    <row r="13" spans="1:2" x14ac:dyDescent="0.25">
      <c r="A13" s="4" t="s">
        <v>58</v>
      </c>
      <c r="B13" s="4">
        <v>6.35</v>
      </c>
    </row>
    <row r="14" spans="1:2" ht="30" x14ac:dyDescent="0.25">
      <c r="A14" s="4" t="s">
        <v>59</v>
      </c>
      <c r="B14" s="4">
        <v>6.34</v>
      </c>
    </row>
    <row r="15" spans="1:2" x14ac:dyDescent="0.25">
      <c r="A15" s="4" t="s">
        <v>60</v>
      </c>
      <c r="B15" s="4">
        <v>6.26</v>
      </c>
    </row>
    <row r="16" spans="1:2" x14ac:dyDescent="0.25">
      <c r="A16" s="4" t="s">
        <v>61</v>
      </c>
      <c r="B16" s="4">
        <v>6.18</v>
      </c>
    </row>
    <row r="17" spans="1:2" x14ac:dyDescent="0.25">
      <c r="A17" s="4" t="s">
        <v>62</v>
      </c>
      <c r="B17" s="4">
        <v>6.07</v>
      </c>
    </row>
    <row r="18" spans="1:2" x14ac:dyDescent="0.25">
      <c r="A18" s="4" t="s">
        <v>63</v>
      </c>
      <c r="B18" s="4">
        <v>5.99</v>
      </c>
    </row>
    <row r="19" spans="1:2" x14ac:dyDescent="0.25">
      <c r="A19" s="4" t="s">
        <v>64</v>
      </c>
      <c r="B19" s="4">
        <v>5.99</v>
      </c>
    </row>
    <row r="20" spans="1:2" x14ac:dyDescent="0.25">
      <c r="A20" s="4" t="s">
        <v>65</v>
      </c>
      <c r="B20" s="4">
        <v>5.81</v>
      </c>
    </row>
    <row r="21" spans="1:2" x14ac:dyDescent="0.25">
      <c r="A21" s="4" t="s">
        <v>66</v>
      </c>
      <c r="B21" s="4">
        <v>5.8</v>
      </c>
    </row>
    <row r="22" spans="1:2" x14ac:dyDescent="0.25">
      <c r="A22" s="4" t="s">
        <v>67</v>
      </c>
      <c r="B22" s="4">
        <v>5.76</v>
      </c>
    </row>
    <row r="23" spans="1:2" x14ac:dyDescent="0.25">
      <c r="A23" s="4" t="s">
        <v>68</v>
      </c>
      <c r="B23" s="4">
        <v>5.72</v>
      </c>
    </row>
    <row r="24" spans="1:2" x14ac:dyDescent="0.25">
      <c r="A24" s="4" t="s">
        <v>69</v>
      </c>
      <c r="B24" s="4">
        <v>5.51</v>
      </c>
    </row>
    <row r="25" spans="1:2" x14ac:dyDescent="0.25">
      <c r="A25" s="4" t="s">
        <v>70</v>
      </c>
      <c r="B25" s="4">
        <v>5.41</v>
      </c>
    </row>
  </sheetData>
  <autoFilter ref="A1:B25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</cols>
  <sheetData>
    <row r="1" spans="1:2" x14ac:dyDescent="0.25">
      <c r="A1" s="3" t="s">
        <v>46</v>
      </c>
      <c r="B1" s="3" t="s">
        <v>24</v>
      </c>
    </row>
    <row r="2" spans="1:2" x14ac:dyDescent="0.25">
      <c r="A2" s="4" t="s">
        <v>48</v>
      </c>
      <c r="B2" s="4">
        <v>1.74</v>
      </c>
    </row>
    <row r="3" spans="1:2" x14ac:dyDescent="0.25">
      <c r="A3" s="4" t="s">
        <v>49</v>
      </c>
      <c r="B3" s="4">
        <v>1.74</v>
      </c>
    </row>
    <row r="4" spans="1:2" x14ac:dyDescent="0.25">
      <c r="A4" s="4" t="s">
        <v>47</v>
      </c>
      <c r="B4" s="4">
        <v>1.72</v>
      </c>
    </row>
    <row r="5" spans="1:2" x14ac:dyDescent="0.25">
      <c r="A5" s="4" t="s">
        <v>51</v>
      </c>
      <c r="B5" s="4">
        <v>1.71</v>
      </c>
    </row>
    <row r="6" spans="1:2" x14ac:dyDescent="0.25">
      <c r="A6" s="4" t="s">
        <v>55</v>
      </c>
      <c r="B6" s="4">
        <v>1.69</v>
      </c>
    </row>
    <row r="7" spans="1:2" x14ac:dyDescent="0.25">
      <c r="A7" s="4" t="s">
        <v>50</v>
      </c>
      <c r="B7" s="4">
        <v>1.65</v>
      </c>
    </row>
    <row r="8" spans="1:2" x14ac:dyDescent="0.25">
      <c r="A8" s="4" t="s">
        <v>53</v>
      </c>
      <c r="B8" s="4">
        <v>1.64</v>
      </c>
    </row>
    <row r="9" spans="1:2" x14ac:dyDescent="0.25">
      <c r="A9" s="4" t="s">
        <v>57</v>
      </c>
      <c r="B9" s="4">
        <v>1.61</v>
      </c>
    </row>
  </sheetData>
  <autoFilter ref="A1:B9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20" customWidth="1"/>
  </cols>
  <sheetData>
    <row r="1" spans="1:2" x14ac:dyDescent="0.25">
      <c r="A1" s="3" t="s">
        <v>46</v>
      </c>
      <c r="B1" s="3" t="s">
        <v>15</v>
      </c>
    </row>
    <row r="2" spans="1:2" x14ac:dyDescent="0.25">
      <c r="A2" s="4" t="s">
        <v>47</v>
      </c>
      <c r="B2" s="4">
        <v>24.4</v>
      </c>
    </row>
    <row r="3" spans="1:2" x14ac:dyDescent="0.25">
      <c r="A3" s="4" t="s">
        <v>48</v>
      </c>
      <c r="B3" s="4">
        <v>25.7</v>
      </c>
    </row>
    <row r="4" spans="1:2" x14ac:dyDescent="0.25">
      <c r="A4" s="4" t="s">
        <v>49</v>
      </c>
      <c r="B4" s="4">
        <v>26</v>
      </c>
    </row>
    <row r="5" spans="1:2" x14ac:dyDescent="0.25">
      <c r="A5" s="4" t="s">
        <v>50</v>
      </c>
      <c r="B5" s="4">
        <v>25</v>
      </c>
    </row>
    <row r="6" spans="1:2" x14ac:dyDescent="0.25">
      <c r="A6" s="4" t="s">
        <v>51</v>
      </c>
      <c r="B6" s="4">
        <v>25.9</v>
      </c>
    </row>
    <row r="7" spans="1:2" x14ac:dyDescent="0.25">
      <c r="A7" s="4" t="s">
        <v>52</v>
      </c>
      <c r="B7" s="4">
        <v>24.5</v>
      </c>
    </row>
    <row r="8" spans="1:2" x14ac:dyDescent="0.25">
      <c r="A8" s="4" t="s">
        <v>53</v>
      </c>
      <c r="B8" s="4">
        <v>25.1</v>
      </c>
    </row>
    <row r="9" spans="1:2" x14ac:dyDescent="0.25">
      <c r="A9" s="4" t="s">
        <v>54</v>
      </c>
      <c r="B9" s="4">
        <v>24.3</v>
      </c>
    </row>
    <row r="10" spans="1:2" x14ac:dyDescent="0.25">
      <c r="A10" s="4" t="s">
        <v>55</v>
      </c>
      <c r="B10" s="4">
        <v>26.4</v>
      </c>
    </row>
    <row r="11" spans="1:2" x14ac:dyDescent="0.25">
      <c r="A11" s="4" t="s">
        <v>56</v>
      </c>
      <c r="B11" s="4">
        <v>25.2</v>
      </c>
    </row>
  </sheetData>
  <autoFilter ref="A1:B1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34" customWidth="1"/>
  </cols>
  <sheetData>
    <row r="1" spans="1:2" x14ac:dyDescent="0.25">
      <c r="A1" s="3" t="s">
        <v>71</v>
      </c>
      <c r="B1" s="3" t="s">
        <v>72</v>
      </c>
    </row>
    <row r="2" spans="1:2" ht="30" x14ac:dyDescent="0.25">
      <c r="A2" s="4" t="s">
        <v>73</v>
      </c>
      <c r="B2" s="4" t="s">
        <v>74</v>
      </c>
    </row>
    <row r="3" spans="1:2" ht="30" x14ac:dyDescent="0.25">
      <c r="A3" s="4" t="s">
        <v>13</v>
      </c>
      <c r="B3" s="4" t="s">
        <v>75</v>
      </c>
    </row>
    <row r="4" spans="1:2" ht="30" x14ac:dyDescent="0.25">
      <c r="A4" s="4" t="s">
        <v>23</v>
      </c>
      <c r="B4" s="4" t="s">
        <v>76</v>
      </c>
    </row>
    <row r="5" spans="1:2" ht="30" x14ac:dyDescent="0.25">
      <c r="A5" s="4" t="s">
        <v>77</v>
      </c>
      <c r="B5" s="4" t="s">
        <v>78</v>
      </c>
    </row>
    <row r="6" spans="1:2" ht="45" x14ac:dyDescent="0.25">
      <c r="A6" s="4" t="s">
        <v>79</v>
      </c>
      <c r="B6" s="4" t="s">
        <v>80</v>
      </c>
    </row>
    <row r="7" spans="1:2" ht="45" x14ac:dyDescent="0.25">
      <c r="A7" s="4" t="s">
        <v>81</v>
      </c>
      <c r="B7" s="4" t="s">
        <v>82</v>
      </c>
    </row>
    <row r="8" spans="1:2" ht="45" x14ac:dyDescent="0.25">
      <c r="A8" s="4" t="s">
        <v>83</v>
      </c>
      <c r="B8" s="4" t="s">
        <v>84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Overall KPIs</vt:lpstr>
      <vt:lpstr>Category Sales</vt:lpstr>
      <vt:lpstr>Region Performance</vt:lpstr>
      <vt:lpstr>Subcategory</vt:lpstr>
      <vt:lpstr>Category Profit</vt:lpstr>
      <vt:lpstr>Discount Margin</vt:lpstr>
      <vt:lpstr>City Sales</vt:lpstr>
      <vt:lpstr>City Profit</vt:lpstr>
      <vt:lpstr>City Margin</vt:lpstr>
      <vt:lpstr>Insights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Dharshini</cp:lastModifiedBy>
  <dcterms:created xsi:type="dcterms:W3CDTF">2026-10-14T08:33:44Z</dcterms:created>
  <dcterms:modified xsi:type="dcterms:W3CDTF">2026-10-20T13:51:51Z</dcterms:modified>
</cp:coreProperties>
</file>